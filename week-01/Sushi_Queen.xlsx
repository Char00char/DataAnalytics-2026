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1\"/>
    </mc:Choice>
  </mc:AlternateContent>
  <xr:revisionPtr revIDLastSave="0" documentId="8_{3C4DCA67-5841-460C-8E66-E2895042CA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D12" i="1"/>
  <c r="G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<sst xmlns="http://schemas.openxmlformats.org/spreadsheetml/2006/main" count="37" uniqueCount="23">
  <si>
    <t>Id</t>
  </si>
  <si>
    <t>Start time</t>
  </si>
  <si>
    <t>Completion time</t>
  </si>
  <si>
    <t>Email</t>
  </si>
  <si>
    <t>Name</t>
  </si>
  <si>
    <t>Please rate your overall experience with service</t>
  </si>
  <si>
    <t>How would you rate your dining experience</t>
  </si>
  <si>
    <t>How likely are you to recommend Sushi Queen to a friend or colleague?</t>
  </si>
  <si>
    <t>How likely are you to return to in the next 30 days?</t>
  </si>
  <si>
    <t>What did you order while dining at Sushi Queen?</t>
  </si>
  <si>
    <t>anonymous</t>
  </si>
  <si>
    <t>Classic Rolls (California Roll, Philadelphia Roll, Crabmeat Roll);</t>
  </si>
  <si>
    <t>Classic Rolls (California Roll, Philadelphia Roll, Crabmeat Roll);Specialty Rolls (Shrimp Tempura Roll, Rainbow Roll, Dynamite Roll);</t>
  </si>
  <si>
    <t>Specialty Rolls (Shrimp Tempura Roll, Rainbow Roll, Dynamite Roll);</t>
  </si>
  <si>
    <t>Kitchen Entree (Hibachi, Yakisoba Noodle, Fried Rice);Classic Rolls (California Roll, Philadelphia Roll, Crabmeat Roll);Specialty Rolls (Shrimp Tempura Roll, Rainbow Roll, Dynamite Roll);</t>
  </si>
  <si>
    <t>Kitchen Entree (Hibachi, Yakisoba Noodle, Fried Rice);</t>
  </si>
  <si>
    <t>Column1</t>
  </si>
  <si>
    <t>Time to Complete</t>
  </si>
  <si>
    <t>Sum of Please rate your overall experience with service</t>
  </si>
  <si>
    <t>Row Labels</t>
  </si>
  <si>
    <t>Grand Total</t>
  </si>
  <si>
    <t>Sum of How likely are you to return to in the next 30 days?</t>
  </si>
  <si>
    <t>Sum of How would you rate your dining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</si>
</sst>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65" fontId="0" fillId="0" borderId="0" xfId="0" applyNumberFormat="1"/>
    <xf numFmtId="45" fontId="0" fillId="0" borderId="0" xfId="0" applyNumberFormat="1"/>
    <xf numFmtId="49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3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8" formatCode="mm:ss"/>
    </dxf>
    <dxf>
      <numFmt numFmtId="165" formatCode="m/d/yyyy\ h:mm:ss"/>
    </dxf>
    <dxf>
      <numFmt numFmtId="165" formatCode="m/d/yyyy\ h:mm:ss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8" formatCode="mm:ss"/>
    </dxf>
    <dxf>
      <numFmt numFmtId="165" formatCode="m/d/yyyy\ h:mm:ss"/>
    </dxf>
    <dxf>
      <numFmt numFmtId="165" formatCode="m/d/yy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[Sushi Queen.xlsx]Sheet1!PivotTable2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Sheet1!$G$15</c:f>
              <c:strCache>
                <c:ptCount val="1"/>
                <c:pt idx="0">
                  <c:v>Sum of How would you rate your dining experience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Sheet1!$F$16:$F$22</c:f>
              <c:strCache>
                <c:ptCount val="6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strCache>
            </c:strRef>
          </c:cat>
          <c:val>
            <c:numRef>
              <c:f>Sheet1!$G$16:$G$22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7-4300-82D0-040296F344ED}"/>
            </c:ext>
          </c:extLst>
        </c:ser>
        <c:ser>
          <c:idx val="1"/>
          <c:order val="1"/>
          <c:tx>
            <c:strRef>
              <c:f>Sheet1!$H$15</c:f>
              <c:strCache>
                <c:ptCount val="1"/>
                <c:pt idx="0">
                  <c:v>Sum of Please rate your overall experience with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Sheet1!$F$16:$F$22</c:f>
              <c:strCache>
                <c:ptCount val="6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strCache>
            </c:strRef>
          </c:cat>
          <c:val>
            <c:numRef>
              <c:f>Sheet1!$H$16:$H$22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97-4300-82D0-040296F344ED}"/>
            </c:ext>
          </c:extLst>
        </c:ser>
        <c:ser>
          <c:idx val="2"/>
          <c:order val="2"/>
          <c:tx>
            <c:strRef>
              <c:f>Sheet1!$I$15</c:f>
              <c:strCache>
                <c:ptCount val="1"/>
                <c:pt idx="0">
                  <c:v>Sum of How likely are you to return to in the next 30 days?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Sheet1!$F$16:$F$22</c:f>
              <c:strCache>
                <c:ptCount val="6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strCache>
            </c:strRef>
          </c:cat>
          <c:val>
            <c:numRef>
              <c:f>Sheet1!$I$16:$I$22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18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97-4300-82D0-040296F34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022240"/>
        <c:axId val="1284018880"/>
      </c:barChart>
      <c:catAx>
        <c:axId val="12840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018880"/>
        <c:crosses val="autoZero"/>
        <c:auto val="1"/>
        <c:lblAlgn val="ctr"/>
        <c:lblOffset val="100"/>
        <c:noMultiLvlLbl val="0"/>
      </c:catAx>
      <c:valAx>
        <c:axId val="128401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0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746760</xdr:colOff>
      <xdr:row>23</xdr:row>
      <xdr:rowOff>133350</xdr:rowOff>
    </xdr:from>
    <xdr:to>
      <xdr:col>6</xdr:col>
      <xdr:colOff>2903220</xdr:colOff>
      <xdr:row>38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2E2101-7355-7BB3-3240-1E7C4613E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es palacios" refreshedDate="46123.621063541665" createdVersion="8" refreshedVersion="8" minRefreshableVersion="3" recordCount="10" xr:uid="{1C322BCB-F6E9-4FB9-A7FA-8B35E44FCC8F}">
  <cacheSource type="worksheet">
    <worksheetSource name="OfficeForms.Table[[Start time]:[What did you order while dining at Sushi Queen?]]"/>
  </cacheSource>
  <cacheFields count="10">
    <cacheField name="Start time" numFmtId="165">
      <sharedItems containsSemiMixedTypes="0" containsNonDate="0" containsDate="1" containsString="0" minDate="2026-04-09T00:58:40" maxDate="2026-04-10T12:02:58"/>
    </cacheField>
    <cacheField name="Completion time" numFmtId="165">
      <sharedItems containsSemiMixedTypes="0" containsNonDate="0" containsDate="1" containsString="0" minDate="2026-04-09T00:58:51" maxDate="2026-04-10T12:03:13"/>
    </cacheField>
    <cacheField name="Time to Complete" numFmtId="45">
      <sharedItems containsSemiMixedTypes="0" containsNonDate="0" containsDate="1" containsString="0" minDate="1899-12-30T00:00:11" maxDate="1899-12-30T00:01:14"/>
    </cacheField>
    <cacheField name="Email" numFmtId="0">
      <sharedItems/>
    </cacheField>
    <cacheField name="Name" numFmtId="0">
      <sharedItems containsNonDate="0" containsString="0" containsBlank="1"/>
    </cacheField>
    <cacheField name="Please rate your overall experience with service" numFmtId="0">
      <sharedItems containsSemiMixedTypes="0" containsString="0" containsNumber="1" containsInteger="1" minValue="4" maxValue="5"/>
    </cacheField>
    <cacheField name="How would you rate your dining experience" numFmtId="0">
      <sharedItems containsSemiMixedTypes="0" containsString="0" containsNumber="1" containsInteger="1" minValue="4" maxValue="5"/>
    </cacheField>
    <cacheField name="How likely are you to recommend Sushi Queen to a friend or colleague?" numFmtId="0">
      <sharedItems containsSemiMixedTypes="0" containsString="0" containsNumber="1" containsInteger="1" minValue="0" maxValue="10" count="6">
        <n v="4"/>
        <n v="10"/>
        <n v="7"/>
        <n v="8"/>
        <n v="9"/>
        <n v="0"/>
      </sharedItems>
    </cacheField>
    <cacheField name="How likely are you to return to in the next 30 days?" numFmtId="0">
      <sharedItems containsSemiMixedTypes="0" containsString="0" containsNumber="1" containsInteger="1" minValue="0" maxValue="10" count="7">
        <n v="3"/>
        <n v="10"/>
        <n v="7"/>
        <n v="8"/>
        <n v="9"/>
        <n v="6"/>
        <n v="0"/>
      </sharedItems>
    </cacheField>
    <cacheField name="What did you order while dining at Sushi Queen?" numFmtId="0">
      <sharedItems count="5">
        <s v="Classic Rolls (California Roll, Philadelphia Roll, Crabmeat Roll);"/>
        <s v="Classic Rolls (California Roll, Philadelphia Roll, Crabmeat Roll);Specialty Rolls (Shrimp Tempura Roll, Rainbow Roll, Dynamite Roll);"/>
        <s v="Specialty Rolls (Shrimp Tempura Roll, Rainbow Roll, Dynamite Roll);"/>
        <s v="Kitchen Entree (Hibachi, Yakisoba Noodle, Fried Rice);Classic Rolls (California Roll, Philadelphia Roll, Crabmeat Roll);Specialty Rolls (Shrimp Tempura Roll, Rainbow Roll, Dynamite Roll);"/>
        <s v="Kitchen Entree (Hibachi, Yakisoba Noodle, Fried Rice);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4-09T00:58:40"/>
    <d v="2026-04-09T00:58:51"/>
    <d v="1899-12-30T00:00:11"/>
    <s v="anonymous"/>
    <m/>
    <n v="5"/>
    <n v="4"/>
    <x v="0"/>
    <x v="0"/>
    <x v="0"/>
  </r>
  <r>
    <d v="2026-04-09T09:21:34"/>
    <d v="2026-04-09T09:21:50"/>
    <d v="1899-12-30T00:00:16"/>
    <s v="anonymous"/>
    <m/>
    <n v="5"/>
    <n v="5"/>
    <x v="1"/>
    <x v="1"/>
    <x v="1"/>
  </r>
  <r>
    <d v="2026-04-09T09:56:13"/>
    <d v="2026-04-09T09:56:49"/>
    <d v="1899-12-30T00:00:36"/>
    <s v="anonymous"/>
    <m/>
    <n v="4"/>
    <n v="4"/>
    <x v="2"/>
    <x v="2"/>
    <x v="2"/>
  </r>
  <r>
    <d v="2026-04-09T10:24:23"/>
    <d v="2026-04-09T10:24:50"/>
    <d v="1899-12-30T00:00:27"/>
    <s v="anonymous"/>
    <m/>
    <n v="5"/>
    <n v="5"/>
    <x v="1"/>
    <x v="3"/>
    <x v="3"/>
  </r>
  <r>
    <d v="2026-04-09T11:43:03"/>
    <d v="2026-04-09T11:43:16"/>
    <d v="1899-12-30T00:00:13"/>
    <s v="anonymous"/>
    <m/>
    <n v="5"/>
    <n v="5"/>
    <x v="1"/>
    <x v="4"/>
    <x v="0"/>
  </r>
  <r>
    <d v="2026-04-09T13:02:02"/>
    <d v="2026-04-09T13:03:16"/>
    <d v="1899-12-30T00:01:14"/>
    <s v="anonymous"/>
    <m/>
    <n v="5"/>
    <n v="5"/>
    <x v="3"/>
    <x v="5"/>
    <x v="0"/>
  </r>
  <r>
    <d v="2026-04-09T13:09:25"/>
    <d v="2026-04-09T13:10:00"/>
    <d v="1899-12-30T00:00:35"/>
    <s v="anonymous"/>
    <m/>
    <n v="5"/>
    <n v="5"/>
    <x v="1"/>
    <x v="1"/>
    <x v="3"/>
  </r>
  <r>
    <d v="2026-04-09T15:48:26"/>
    <d v="2026-04-09T15:49:07"/>
    <d v="1899-12-30T00:00:41"/>
    <s v="anonymous"/>
    <m/>
    <n v="4"/>
    <n v="4"/>
    <x v="4"/>
    <x v="1"/>
    <x v="4"/>
  </r>
  <r>
    <d v="2026-04-10T03:10:02"/>
    <d v="2026-04-10T03:10:25"/>
    <d v="1899-12-30T00:00:23"/>
    <s v="anonymous"/>
    <m/>
    <n v="5"/>
    <n v="5"/>
    <x v="4"/>
    <x v="3"/>
    <x v="0"/>
  </r>
  <r>
    <d v="2026-04-10T12:02:58"/>
    <d v="2026-04-10T12:03:13"/>
    <d v="1899-12-30T00:00:15"/>
    <s v="anonymous"/>
    <m/>
    <n v="5"/>
    <n v="5"/>
    <x v="5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1CB24-F829-4249-A6FF-7416E5069C0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5:I22" firstHeaderRow="0" firstDataRow="1" firstDataCol="1"/>
  <pivotFields count="10">
    <pivotField numFmtId="165" showAll="0"/>
    <pivotField numFmtId="165" showAll="0"/>
    <pivotField numFmtId="45" showAll="0"/>
    <pivotField showAll="0"/>
    <pivotField showAll="0"/>
    <pivotField dataField="1" showAll="0"/>
    <pivotField dataField="1"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dataField="1" showAll="0">
      <items count="8">
        <item x="6"/>
        <item x="0"/>
        <item x="5"/>
        <item x="2"/>
        <item x="3"/>
        <item x="4"/>
        <item x="1"/>
        <item t="default"/>
      </items>
    </pivotField>
    <pivotField showAll="0">
      <items count="6">
        <item x="0"/>
        <item x="1"/>
        <item x="4"/>
        <item x="3"/>
        <item x="2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ow would you rate your dining experience" fld="6" baseField="0" baseItem="0"/>
    <dataField name="Sum of Please rate your overall experience with service" fld="5" baseField="0" baseItem="0"/>
    <dataField name="Sum of How likely are you to return to in the next 30 days?" fld="8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12" totalsRowCount="1">
  <autoFilter ref="A1:L11" xr:uid="{00000000-0009-0000-0100-000001000000}"/>
  <tableColumns count="12">
    <tableColumn id="1" xr3:uid="{00000000-0010-0000-0000-000001000000}" name="Id" dataDxfId="22" totalsRow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1" totalsRowDxfId="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0" totalsRow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395062C0-F475-47B2-BED2-A037E9558002}" name="Time to Complete" totalsRowFunction="custom" dataDxfId="19" totalsRowDxfId="7">
      <calculatedColumnFormula>C2-B2</calculatedColumnFormula>
      <totalsRowFormula>AVERAGE(D2:D11)</totalsRowFormula>
    </tableColumn>
    <tableColumn id="4" xr3:uid="{00000000-0010-0000-0000-000004000000}" name="Email" dataDxfId="18" totalsRow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 totalsRow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Please rate your overall experience with service" totalsRowFunction="custom" dataDxfId="16" totalsRowDxfId="4">
      <totalsRowFormula>AVERAGE(G2:G11)</totalsRowFormula>
      <extLst>
        <ext xmlns:xlmsforms="http://schemas.microsoft.com/office/spreadsheetml/2023/msForms" uri="{FCC71383-01E1-4257-9335-427F07BE8D7F}">
          <xlmsforms:question id="r05e841dacc664e44b2680678ea6590df"/>
        </ext>
      </extLst>
    </tableColumn>
    <tableColumn id="7" xr3:uid="{00000000-0010-0000-0000-000007000000}" name="How would you rate your dining experience" totalsRowFunction="custom" dataDxfId="15" totalsRowDxfId="3">
      <totalsRowFormula>AVERAGE(H2:H11)</totalsRowFormula>
      <extLst>
        <ext xmlns:xlmsforms="http://schemas.microsoft.com/office/spreadsheetml/2023/msForms" uri="{FCC71383-01E1-4257-9335-427F07BE8D7F}">
          <xlmsforms:question id="rff953a528d5643889ac7046af845bde7"/>
        </ext>
      </extLst>
    </tableColumn>
    <tableColumn id="8" xr3:uid="{00000000-0010-0000-0000-000008000000}" name="How likely are you to recommend Sushi Queen to a friend or colleague?" totalsRowFunction="custom" dataDxfId="14" totalsRowDxfId="2">
      <totalsRowFormula>AVERAGE(I2:I11)</totalsRowFormula>
      <extLst>
        <ext xmlns:xlmsforms="http://schemas.microsoft.com/office/spreadsheetml/2023/msForms" uri="{FCC71383-01E1-4257-9335-427F07BE8D7F}">
          <xlmsforms:question id="re59904b0856a4746948884de204f1ef1"/>
        </ext>
      </extLst>
    </tableColumn>
    <tableColumn id="9" xr3:uid="{00000000-0010-0000-0000-000009000000}" name="How likely are you to return to in the next 30 days?" totalsRowFunction="custom" dataDxfId="13" totalsRowDxfId="1">
      <totalsRowFormula>AVERAGE(J2:J11)</totalsRowFormula>
      <extLst>
        <ext xmlns:xlmsforms="http://schemas.microsoft.com/office/spreadsheetml/2023/msForms" uri="{FCC71383-01E1-4257-9335-427F07BE8D7F}">
          <xlmsforms:question id="r5a19eba72c0d44febf24e2fd33bf6eab"/>
        </ext>
      </extLst>
    </tableColumn>
    <tableColumn id="10" xr3:uid="{00000000-0010-0000-0000-00000A000000}" name="What did you order while dining at Sushi Queen?" totalsRowFunction="custom" dataDxfId="12" totalsRowDxfId="0">
      <totalsRowFormula>SUM(COUNTIF(OfficeForms.Table[What did you order while dining at Sushi Queen?],"*Specialty Rolls*"), COUNTIF(OfficeForms.Table[What did you order while dining at Sushi Queen?],"*Kitchen Entree*"), COUNTIF(OfficeForms.Table[What did you order while dining at Sushi Queen?],"*Classic Rolls*"))</totalsRowFormula>
      <extLst>
        <ext xmlns:xlmsforms="http://schemas.microsoft.com/office/spreadsheetml/2023/msForms" uri="{FCC71383-01E1-4257-9335-427F07BE8D7F}">
          <xlmsforms:question id="r9af0a87d8d48464682e17a06bb6f6861"/>
        </ext>
      </extLst>
    </tableColumn>
    <tableColumn id="12" xr3:uid="{87D5DBC1-5D70-408B-B16F-A157DD5EB6F0}" name="Column1" dataDxfId="11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_ZqXP-B4EdElavFieX2eVlUOUxLNEQ5NDkwSURNWFJLMU82RjY0SFNYVy4u" isFormConnected="1" maxResponseId="1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r05e841dacc664e44b2680678ea6590df</xlmsforms:syncedQuestionId>
        <xlmsforms:syncedQuestionId>rff953a528d5643889ac7046af845bde7</xlmsforms:syncedQuestionId>
        <xlmsforms:syncedQuestionId>re59904b0856a4746948884de204f1ef1</xlmsforms:syncedQuestionId>
        <xlmsforms:syncedQuestionId>r5a19eba72c0d44febf24e2fd33bf6eab</xlmsforms:syncedQuestionId>
        <xlmsforms:syncedQuestionId>r9af0a87d8d48464682e17a06bb6f6861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B8" workbookViewId="0">
      <selection activeCell="G24" sqref="G24"/>
    </sheetView>
  </sheetViews>
  <sheetFormatPr defaultRowHeight="14.4" x14ac:dyDescent="0.3"/>
  <cols>
    <col min="1" max="1" width="20" bestFit="1" customWidth="1"/>
    <col min="2" max="2" width="20" style="2" bestFit="1" customWidth="1"/>
    <col min="3" max="3" width="20" bestFit="1" customWidth="1"/>
    <col min="4" max="4" width="20" customWidth="1"/>
    <col min="5" max="5" width="20" bestFit="1" customWidth="1"/>
    <col min="6" max="6" width="12.5546875" bestFit="1" customWidth="1"/>
    <col min="7" max="7" width="44.77734375" bestFit="1" customWidth="1"/>
    <col min="8" max="8" width="47.88671875" bestFit="1" customWidth="1"/>
    <col min="9" max="9" width="51" bestFit="1" customWidth="1"/>
    <col min="10" max="11" width="20" bestFit="1" customWidth="1"/>
  </cols>
  <sheetData>
    <row r="1" spans="1:12" x14ac:dyDescent="0.3">
      <c r="A1" t="s">
        <v>0</v>
      </c>
      <c r="B1" s="2" t="s">
        <v>1</v>
      </c>
      <c r="C1" t="s">
        <v>2</v>
      </c>
      <c r="D1" s="3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</v>
      </c>
    </row>
    <row r="2" spans="1:12" x14ac:dyDescent="0.3">
      <c r="A2">
        <v>1</v>
      </c>
      <c r="B2" s="2">
        <v>46121.04074074074</v>
      </c>
      <c r="C2" s="2">
        <v>46121.040868055556</v>
      </c>
      <c r="D2" s="3">
        <f t="shared" ref="D2:D11" si="0">C2-B2</f>
        <v>1.273148154723458E-4</v>
      </c>
      <c r="E2" t="s">
        <v>10</v>
      </c>
      <c r="G2">
        <v>5</v>
      </c>
      <c r="H2">
        <v>4</v>
      </c>
      <c r="I2">
        <v>4</v>
      </c>
      <c r="J2">
        <v>3</v>
      </c>
      <c r="K2" t="s">
        <v>11</v>
      </c>
      <c r="L2" s="1"/>
    </row>
    <row r="3" spans="1:12" x14ac:dyDescent="0.3">
      <c r="A3">
        <v>2</v>
      </c>
      <c r="B3" s="2">
        <v>46121.389976851853</v>
      </c>
      <c r="C3" s="2">
        <v>46121.390162037038</v>
      </c>
      <c r="D3" s="3">
        <f t="shared" si="0"/>
        <v>1.8518518481869251E-4</v>
      </c>
      <c r="E3" t="s">
        <v>10</v>
      </c>
      <c r="G3">
        <v>5</v>
      </c>
      <c r="H3">
        <v>5</v>
      </c>
      <c r="I3">
        <v>10</v>
      </c>
      <c r="J3">
        <v>10</v>
      </c>
      <c r="K3" t="s">
        <v>12</v>
      </c>
      <c r="L3" s="1"/>
    </row>
    <row r="4" spans="1:12" x14ac:dyDescent="0.3">
      <c r="A4">
        <v>3</v>
      </c>
      <c r="B4" s="2">
        <v>46121.414039351854</v>
      </c>
      <c r="C4" s="2">
        <v>46121.414456018516</v>
      </c>
      <c r="D4" s="3">
        <f t="shared" si="0"/>
        <v>4.1666666220407933E-4</v>
      </c>
      <c r="E4" t="s">
        <v>10</v>
      </c>
      <c r="G4">
        <v>4</v>
      </c>
      <c r="H4">
        <v>4</v>
      </c>
      <c r="I4">
        <v>7</v>
      </c>
      <c r="J4">
        <v>7</v>
      </c>
      <c r="K4" t="s">
        <v>13</v>
      </c>
      <c r="L4" s="1"/>
    </row>
    <row r="5" spans="1:12" x14ac:dyDescent="0.3">
      <c r="A5">
        <v>4</v>
      </c>
      <c r="B5" s="2">
        <v>46121.433599537035</v>
      </c>
      <c r="C5" s="2">
        <v>46121.433912037035</v>
      </c>
      <c r="D5" s="3">
        <f t="shared" si="0"/>
        <v>3.125000002910383E-4</v>
      </c>
      <c r="E5" t="s">
        <v>10</v>
      </c>
      <c r="G5">
        <v>5</v>
      </c>
      <c r="H5">
        <v>5</v>
      </c>
      <c r="I5">
        <v>10</v>
      </c>
      <c r="J5">
        <v>8</v>
      </c>
      <c r="K5" t="s">
        <v>14</v>
      </c>
      <c r="L5" s="1"/>
    </row>
    <row r="6" spans="1:12" x14ac:dyDescent="0.3">
      <c r="A6">
        <v>5</v>
      </c>
      <c r="B6" s="2">
        <v>46121.488229166665</v>
      </c>
      <c r="C6" s="2">
        <v>46121.488379629627</v>
      </c>
      <c r="D6" s="3">
        <f t="shared" si="0"/>
        <v>1.5046296175569296E-4</v>
      </c>
      <c r="E6" t="s">
        <v>10</v>
      </c>
      <c r="G6">
        <v>5</v>
      </c>
      <c r="H6">
        <v>5</v>
      </c>
      <c r="I6">
        <v>10</v>
      </c>
      <c r="J6">
        <v>9</v>
      </c>
      <c r="K6" t="s">
        <v>11</v>
      </c>
      <c r="L6" s="1"/>
    </row>
    <row r="7" spans="1:12" x14ac:dyDescent="0.3">
      <c r="A7">
        <v>6</v>
      </c>
      <c r="B7" s="2">
        <v>46121.543078703704</v>
      </c>
      <c r="C7" s="2">
        <v>46121.543935185182</v>
      </c>
      <c r="D7" s="3">
        <f t="shared" si="0"/>
        <v>8.5648147796746343E-4</v>
      </c>
      <c r="E7" t="s">
        <v>10</v>
      </c>
      <c r="G7">
        <v>5</v>
      </c>
      <c r="H7">
        <v>5</v>
      </c>
      <c r="I7">
        <v>8</v>
      </c>
      <c r="J7">
        <v>6</v>
      </c>
      <c r="K7" t="s">
        <v>11</v>
      </c>
      <c r="L7" s="1"/>
    </row>
    <row r="8" spans="1:12" x14ac:dyDescent="0.3">
      <c r="A8">
        <v>7</v>
      </c>
      <c r="B8" s="2">
        <v>46121.548206018517</v>
      </c>
      <c r="C8" s="2">
        <v>46121.548611111109</v>
      </c>
      <c r="D8" s="3">
        <f t="shared" si="0"/>
        <v>4.0509259270038456E-4</v>
      </c>
      <c r="E8" t="s">
        <v>10</v>
      </c>
      <c r="G8">
        <v>5</v>
      </c>
      <c r="H8">
        <v>5</v>
      </c>
      <c r="I8">
        <v>10</v>
      </c>
      <c r="J8">
        <v>10</v>
      </c>
      <c r="K8" t="s">
        <v>14</v>
      </c>
      <c r="L8" s="1"/>
    </row>
    <row r="9" spans="1:12" x14ac:dyDescent="0.3">
      <c r="A9">
        <v>8</v>
      </c>
      <c r="B9" s="2">
        <v>46121.658634259256</v>
      </c>
      <c r="C9" s="2">
        <v>46121.659108796295</v>
      </c>
      <c r="D9" s="3">
        <f t="shared" si="0"/>
        <v>4.7453703882638365E-4</v>
      </c>
      <c r="E9" t="s">
        <v>10</v>
      </c>
      <c r="G9">
        <v>4</v>
      </c>
      <c r="H9">
        <v>4</v>
      </c>
      <c r="I9">
        <v>9</v>
      </c>
      <c r="J9">
        <v>10</v>
      </c>
      <c r="K9" t="s">
        <v>15</v>
      </c>
      <c r="L9" s="1"/>
    </row>
    <row r="10" spans="1:12" x14ac:dyDescent="0.3">
      <c r="A10">
        <v>9</v>
      </c>
      <c r="B10" s="2">
        <v>46122.131967592592</v>
      </c>
      <c r="C10" s="2">
        <v>46122.132233796299</v>
      </c>
      <c r="D10" s="3">
        <f t="shared" si="0"/>
        <v>2.6620370772434399E-4</v>
      </c>
      <c r="E10" t="s">
        <v>10</v>
      </c>
      <c r="G10">
        <v>5</v>
      </c>
      <c r="H10">
        <v>5</v>
      </c>
      <c r="I10">
        <v>9</v>
      </c>
      <c r="J10">
        <v>8</v>
      </c>
      <c r="K10" t="s">
        <v>11</v>
      </c>
      <c r="L10" s="1"/>
    </row>
    <row r="11" spans="1:12" x14ac:dyDescent="0.3">
      <c r="A11">
        <v>10</v>
      </c>
      <c r="B11" s="2">
        <v>46122.502060185187</v>
      </c>
      <c r="C11" s="2">
        <v>46122.502233796295</v>
      </c>
      <c r="D11" s="3">
        <f t="shared" si="0"/>
        <v>1.7361110803904012E-4</v>
      </c>
      <c r="E11" t="s">
        <v>10</v>
      </c>
      <c r="G11">
        <v>5</v>
      </c>
      <c r="H11">
        <v>5</v>
      </c>
      <c r="I11">
        <v>0</v>
      </c>
      <c r="J11">
        <v>0</v>
      </c>
      <c r="K11" t="s">
        <v>14</v>
      </c>
      <c r="L11" s="1"/>
    </row>
    <row r="12" spans="1:12" x14ac:dyDescent="0.3">
      <c r="A12" s="1"/>
      <c r="C12" s="2"/>
      <c r="D12" s="3">
        <f>AVERAGE(D2:D11)</f>
        <v>3.3680555497994646E-4</v>
      </c>
      <c r="E12" s="4"/>
      <c r="F12" s="4"/>
      <c r="G12" s="1">
        <f>AVERAGE(G2:G11)</f>
        <v>4.8</v>
      </c>
      <c r="H12" s="1">
        <f>AVERAGE(H2:H11)</f>
        <v>4.7</v>
      </c>
      <c r="I12" s="1">
        <f>AVERAGE(I2:I11)</f>
        <v>7.7</v>
      </c>
      <c r="J12" s="1">
        <f>AVERAGE(J2:J11)</f>
        <v>7.1</v>
      </c>
      <c r="K12" s="5">
        <f>SUM(COUNTIF(OfficeForms.Table[What did you order while dining at Sushi Queen?],"*Specialty Rolls*"), COUNTIF(OfficeForms.Table[What did you order while dining at Sushi Queen?],"*Kitchen Entree*"), COUNTIF(OfficeForms.Table[What did you order while dining at Sushi Queen?],"*Classic Rolls*"))</f>
        <v>17</v>
      </c>
    </row>
    <row r="15" spans="1:12" x14ac:dyDescent="0.3">
      <c r="F15" s="6" t="s">
        <v>19</v>
      </c>
      <c r="G15" t="s">
        <v>22</v>
      </c>
      <c r="H15" t="s">
        <v>18</v>
      </c>
      <c r="I15" t="s">
        <v>21</v>
      </c>
    </row>
    <row r="16" spans="1:12" x14ac:dyDescent="0.3">
      <c r="F16" s="7">
        <v>0</v>
      </c>
      <c r="G16" s="1">
        <v>5</v>
      </c>
      <c r="H16" s="1">
        <v>5</v>
      </c>
      <c r="I16" s="1">
        <v>0</v>
      </c>
    </row>
    <row r="17" spans="6:9" x14ac:dyDescent="0.3">
      <c r="F17" s="7">
        <v>4</v>
      </c>
      <c r="G17" s="1">
        <v>4</v>
      </c>
      <c r="H17" s="1">
        <v>5</v>
      </c>
      <c r="I17" s="1">
        <v>3</v>
      </c>
    </row>
    <row r="18" spans="6:9" x14ac:dyDescent="0.3">
      <c r="F18" s="7">
        <v>7</v>
      </c>
      <c r="G18" s="1">
        <v>4</v>
      </c>
      <c r="H18" s="1">
        <v>4</v>
      </c>
      <c r="I18" s="1">
        <v>7</v>
      </c>
    </row>
    <row r="19" spans="6:9" x14ac:dyDescent="0.3">
      <c r="F19" s="7">
        <v>8</v>
      </c>
      <c r="G19" s="1">
        <v>5</v>
      </c>
      <c r="H19" s="1">
        <v>5</v>
      </c>
      <c r="I19" s="1">
        <v>6</v>
      </c>
    </row>
    <row r="20" spans="6:9" x14ac:dyDescent="0.3">
      <c r="F20" s="7">
        <v>9</v>
      </c>
      <c r="G20" s="1">
        <v>9</v>
      </c>
      <c r="H20" s="1">
        <v>9</v>
      </c>
      <c r="I20" s="1">
        <v>18</v>
      </c>
    </row>
    <row r="21" spans="6:9" x14ac:dyDescent="0.3">
      <c r="F21" s="7">
        <v>10</v>
      </c>
      <c r="G21" s="1">
        <v>20</v>
      </c>
      <c r="H21" s="1">
        <v>20</v>
      </c>
      <c r="I21" s="1">
        <v>37</v>
      </c>
    </row>
    <row r="22" spans="6:9" x14ac:dyDescent="0.3">
      <c r="F22" s="7" t="s">
        <v>20</v>
      </c>
      <c r="G22" s="1">
        <v>47</v>
      </c>
      <c r="H22" s="1">
        <v>48</v>
      </c>
      <c r="I22" s="1">
        <v>71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charles palacios</cp:lastModifiedBy>
  <cp:revision/>
  <dcterms:created xsi:type="dcterms:W3CDTF">2026-04-11T17:56:34Z</dcterms:created>
  <dcterms:modified xsi:type="dcterms:W3CDTF">2026-04-11T18:59:13Z</dcterms:modified>
  <cp:category/>
  <cp:contentStatus/>
</cp:coreProperties>
</file>